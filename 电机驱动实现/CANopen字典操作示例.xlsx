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5088\Desktop\文档\字典案例表\"/>
    </mc:Choice>
  </mc:AlternateContent>
  <bookViews>
    <workbookView windowWidth="23152" windowHeight="11055"/>
  </bookViews>
  <sheets>
    <sheet name="指令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<sst xmlns="http://schemas.openxmlformats.org/spreadsheetml/2006/main" count="505" uniqueCount="201">
  <si>
    <r>
      <rPr>
        <b/>
        <sz val="10.5"/>
        <color theme="1"/>
        <rFont val="宋体"/>
        <charset val="134"/>
      </rPr>
      <t>指令测试环境：</t>
    </r>
    <r>
      <rPr>
        <b/>
        <sz val="10.5"/>
        <color theme="1"/>
        <rFont val="Calibri"/>
        <charset val="134"/>
      </rPr>
      <t xml:space="preserve">
</t>
    </r>
    <r>
      <rPr>
        <b/>
        <sz val="10.5"/>
        <color theme="1"/>
        <rFont val="宋体"/>
        <charset val="134"/>
      </rPr>
      <t>电机：</t>
    </r>
    <r>
      <rPr>
        <sz val="10.5"/>
        <color theme="1"/>
        <rFont val="宋体"/>
        <charset val="134"/>
      </rPr>
      <t>额定电流</t>
    </r>
    <r>
      <rPr>
        <sz val="10.5"/>
        <color theme="1"/>
        <rFont val="Calibri"/>
        <charset val="134"/>
      </rPr>
      <t xml:space="preserve"> 1A</t>
    </r>
    <r>
      <rPr>
        <sz val="10.5"/>
        <color theme="1"/>
        <rFont val="宋体"/>
        <charset val="134"/>
      </rPr>
      <t>，最大转速</t>
    </r>
    <r>
      <rPr>
        <sz val="10.5"/>
        <color theme="1"/>
        <rFont val="Calibri"/>
        <charset val="134"/>
      </rPr>
      <t xml:space="preserve"> 2000RPM</t>
    </r>
    <r>
      <rPr>
        <sz val="10.5"/>
        <color theme="1"/>
        <rFont val="宋体"/>
        <charset val="134"/>
      </rPr>
      <t>，旋转电机，</t>
    </r>
    <r>
      <rPr>
        <b/>
        <sz val="10.5"/>
        <color theme="1"/>
        <rFont val="宋体"/>
        <charset val="134"/>
      </rPr>
      <t>编码器：</t>
    </r>
    <r>
      <rPr>
        <sz val="10.5"/>
        <color theme="1"/>
        <rFont val="Calibri"/>
        <charset val="134"/>
      </rPr>
      <t>4096</t>
    </r>
    <r>
      <rPr>
        <sz val="10.5"/>
        <color theme="1"/>
        <rFont val="宋体"/>
        <charset val="134"/>
      </rPr>
      <t>脉冲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圈</t>
    </r>
    <r>
      <rPr>
        <sz val="10.5"/>
        <color theme="1"/>
        <rFont val="Calibri"/>
        <charset val="134"/>
      </rPr>
      <t xml:space="preserve"> 
</t>
    </r>
    <r>
      <rPr>
        <b/>
        <sz val="12"/>
        <color theme="1"/>
        <rFont val="宋体"/>
        <charset val="134"/>
      </rPr>
      <t>因驱动器内部单位固定，与上位机设置单位不同时，实际下发的指令参数值需按照实际编码器分辨率进行换算，如</t>
    </r>
    <r>
      <rPr>
        <b/>
        <sz val="12"/>
        <color theme="1"/>
        <rFont val="Calibri"/>
        <charset val="134"/>
      </rPr>
      <t xml:space="preserve"> </t>
    </r>
    <r>
      <rPr>
        <b/>
        <sz val="12"/>
        <color theme="1"/>
        <rFont val="宋体"/>
        <charset val="134"/>
      </rPr>
      <t>轮廓速度</t>
    </r>
    <r>
      <rPr>
        <b/>
        <sz val="12"/>
        <color theme="1"/>
        <rFont val="Calibri"/>
        <charset val="134"/>
      </rPr>
      <t xml:space="preserve"> 0xD55 P/s = </t>
    </r>
    <r>
      <rPr>
        <b/>
        <sz val="12"/>
        <color theme="1"/>
        <rFont val="宋体"/>
        <charset val="134"/>
      </rPr>
      <t>十进制转十六进制</t>
    </r>
    <r>
      <rPr>
        <b/>
        <sz val="12"/>
        <color theme="1"/>
        <rFont val="Calibri"/>
        <charset val="134"/>
      </rPr>
      <t xml:space="preserve"> (50 RPM * 4096 / 60)
</t>
    </r>
    <r>
      <rPr>
        <b/>
        <sz val="10.5"/>
        <color theme="1"/>
        <rFont val="宋体"/>
        <charset val="134"/>
      </rPr>
      <t>驱动器数量：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个，</t>
    </r>
    <r>
      <rPr>
        <b/>
        <sz val="10.5"/>
        <color theme="1"/>
        <rFont val="宋体"/>
        <charset val="134"/>
      </rPr>
      <t>通讯</t>
    </r>
    <r>
      <rPr>
        <b/>
        <sz val="10.5"/>
        <color theme="1"/>
        <rFont val="Calibri"/>
        <charset val="134"/>
      </rPr>
      <t>ID</t>
    </r>
    <r>
      <rPr>
        <b/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>1</t>
    </r>
    <r>
      <rPr>
        <b/>
        <sz val="12"/>
        <color theme="1"/>
        <rFont val="宋体"/>
        <charset val="134"/>
      </rPr>
      <t>。</t>
    </r>
  </si>
  <si>
    <t>运行模式</t>
  </si>
  <si>
    <t>运行步骤</t>
  </si>
  <si>
    <t>写值</t>
  </si>
  <si>
    <t>CAN地址</t>
  </si>
  <si>
    <t>数据类型</t>
  </si>
  <si>
    <t>CANopen指令</t>
  </si>
  <si>
    <t>CANopen返回指令</t>
  </si>
  <si>
    <t>地址名称</t>
  </si>
  <si>
    <t>地址描述</t>
  </si>
  <si>
    <t>默认值</t>
  </si>
  <si>
    <t>权限</t>
  </si>
  <si>
    <t>Dec（十进制）</t>
  </si>
  <si>
    <t>换算单位</t>
  </si>
  <si>
    <t>Hex（十六进制）</t>
  </si>
  <si>
    <t>内部单位</t>
  </si>
  <si>
    <t>Index</t>
  </si>
  <si>
    <t>SubIndex</t>
  </si>
  <si>
    <t>DataType</t>
  </si>
  <si>
    <t>Name</t>
  </si>
  <si>
    <t>Description</t>
  </si>
  <si>
    <t>Default</t>
  </si>
  <si>
    <t>Access</t>
  </si>
  <si>
    <t>位置模式</t>
  </si>
  <si>
    <t>失能电机</t>
  </si>
  <si>
    <t>0x6</t>
  </si>
  <si>
    <t>0x6040</t>
  </si>
  <si>
    <t>0x00</t>
  </si>
  <si>
    <t>UNS16</t>
  </si>
  <si>
    <t>601： 2B 40 60 00 06 00 00 00</t>
  </si>
  <si>
    <t>581： 60 40 60 00 00 00 00 00</t>
  </si>
  <si>
    <t>Controlword</t>
  </si>
  <si>
    <t>402控制字</t>
  </si>
  <si>
    <t>0x0</t>
  </si>
  <si>
    <t>RW</t>
  </si>
  <si>
    <t>进入位置模式</t>
  </si>
  <si>
    <t>0x1</t>
  </si>
  <si>
    <t>0x6060</t>
  </si>
  <si>
    <t>INTEGER8</t>
  </si>
  <si>
    <t>601： 2F 60 60 00 01 00 00 00</t>
  </si>
  <si>
    <t>581： 60 60 60 00 00 00 00 00</t>
  </si>
  <si>
    <t>Modes_of_operation</t>
  </si>
  <si>
    <t>目标位置1</t>
  </si>
  <si>
    <t>P</t>
  </si>
  <si>
    <t>0xFFFFD8F0</t>
  </si>
  <si>
    <t>0x607A</t>
  </si>
  <si>
    <t>INTEGER32</t>
  </si>
  <si>
    <t>601： 23 7A 60 00 F0 D8 FF FF</t>
  </si>
  <si>
    <t>581： 60 7A 60 00 00 00 00 00</t>
  </si>
  <si>
    <t>Target_position</t>
  </si>
  <si>
    <t>位置目标值</t>
  </si>
  <si>
    <t>轮廓速度</t>
  </si>
  <si>
    <t>RPM</t>
  </si>
  <si>
    <t>P/s</t>
  </si>
  <si>
    <t>0x6081</t>
  </si>
  <si>
    <t>UNS32</t>
  </si>
  <si>
    <t>601： 23 81 60 00 55 0D 00 00</t>
  </si>
  <si>
    <t>581： 60 81 60 00 00 00 00 00</t>
  </si>
  <si>
    <t>Profile_velocity</t>
  </si>
  <si>
    <t>最大轮廓速度</t>
  </si>
  <si>
    <t>0x607F</t>
  </si>
  <si>
    <t>601： 23 7F 60 00 AA 0A 01 00</t>
  </si>
  <si>
    <t>581： 60 7F 60 00 00 00 00 00</t>
  </si>
  <si>
    <t>Max_Profile_velocity</t>
  </si>
  <si>
    <t>应用速度限制</t>
  </si>
  <si>
    <t>0x7D0</t>
  </si>
  <si>
    <t>轮廓加速度</t>
  </si>
  <si>
    <t>RPM/s</t>
  </si>
  <si>
    <t>P/s2</t>
  </si>
  <si>
    <t>0x6083</t>
  </si>
  <si>
    <t>601： 23 83 60 00 AA 1A 00 00</t>
  </si>
  <si>
    <t>581： 60 83 60 00 00 00 00 00</t>
  </si>
  <si>
    <t>Profile_acceleration</t>
  </si>
  <si>
    <t>0x1770</t>
  </si>
  <si>
    <t>轮廓减速度</t>
  </si>
  <si>
    <t>0x6084</t>
  </si>
  <si>
    <t>601： 23 84 60 00 AA 1A 00 00</t>
  </si>
  <si>
    <t>581： 60 84 60 00 00 00 00 00</t>
  </si>
  <si>
    <t>Profile_deceleration</t>
  </si>
  <si>
    <t>运行前准备，下发参数</t>
  </si>
  <si>
    <t>0xF</t>
  </si>
  <si>
    <t>601： 2B 40 60 00 0F 00 00 00</t>
  </si>
  <si>
    <t>按绝对位置运行</t>
  </si>
  <si>
    <t>0x3F</t>
  </si>
  <si>
    <t>601： 2B 40 60 00 3F 00 00 00</t>
  </si>
  <si>
    <t>暂停绝对位置运行</t>
  </si>
  <si>
    <t>0x13F</t>
  </si>
  <si>
    <t>601： 2B 40 60 00 3F 01 00 00</t>
  </si>
  <si>
    <t>按相对位置运行</t>
  </si>
  <si>
    <t>0x7F</t>
  </si>
  <si>
    <t>601： 2B 40 60 00 7F 00 00 00</t>
  </si>
  <si>
    <t>暂停相对位置运行</t>
  </si>
  <si>
    <t>0x17F</t>
  </si>
  <si>
    <t>601： 2B 40 60 00 7F 01 00 00</t>
  </si>
  <si>
    <t>速度模式</t>
  </si>
  <si>
    <t>进入速度模式</t>
  </si>
  <si>
    <t>0x3</t>
  </si>
  <si>
    <t>601： 2F 60 60 00 03 00 00 00</t>
  </si>
  <si>
    <t>目标速度</t>
  </si>
  <si>
    <t>0x60FF</t>
  </si>
  <si>
    <t>601： 23 FF 60 00 55 0D 00 00</t>
  </si>
  <si>
    <t>581： 60 FF 60 00 00 00 00 00</t>
  </si>
  <si>
    <t>Target_velocity</t>
  </si>
  <si>
    <t>速度目标值</t>
  </si>
  <si>
    <t>使能电机，开始运行</t>
  </si>
  <si>
    <t>暂停运行</t>
  </si>
  <si>
    <t>0x10F</t>
  </si>
  <si>
    <t>601： 2B 40 60 00 0F 01 00 00</t>
  </si>
  <si>
    <t>力矩模式</t>
  </si>
  <si>
    <t>进入力矩模式</t>
  </si>
  <si>
    <t>0x4</t>
  </si>
  <si>
    <t>601： 2F 60 60 00 04 00 00 00</t>
  </si>
  <si>
    <t>目标力</t>
  </si>
  <si>
    <t>mA</t>
  </si>
  <si>
    <t>0x1F4</t>
  </si>
  <si>
    <t>额定电流千分比</t>
  </si>
  <si>
    <t>0x6071</t>
  </si>
  <si>
    <t>INTEGER16</t>
  </si>
  <si>
    <t>601： 2B 71 60 00 F4 01 00 00</t>
  </si>
  <si>
    <t>581： 60 71 60 00 00 00 00 00</t>
  </si>
  <si>
    <t>Target_torque</t>
  </si>
  <si>
    <t>力矩目标值</t>
  </si>
  <si>
    <t>力矩上升斜率</t>
  </si>
  <si>
    <t>mA/s</t>
  </si>
  <si>
    <t>0x3E8</t>
  </si>
  <si>
    <t>0x6087</t>
  </si>
  <si>
    <t>601： 23 87 60 00 E8 03 00 00</t>
  </si>
  <si>
    <t>581： 60 87 60 00 00 00 00 00</t>
  </si>
  <si>
    <t>Torque_slope</t>
  </si>
  <si>
    <t>常用操作</t>
  </si>
  <si>
    <t>失能电机（使能下不能进行参数保存）</t>
  </si>
  <si>
    <t>清除错误</t>
  </si>
  <si>
    <t>0x80</t>
  </si>
  <si>
    <t>601： 2B 40 60 00 80 00 00 00</t>
  </si>
  <si>
    <t>常用查询</t>
  </si>
  <si>
    <t>当前位置</t>
  </si>
  <si>
    <r>
      <rPr>
        <sz val="10.5"/>
        <color rgb="FF000000"/>
        <rFont val="Calibri"/>
        <charset val="134"/>
      </rPr>
      <t>CANopen:</t>
    </r>
    <r>
      <rPr>
        <sz val="10"/>
        <rFont val="宋体"/>
        <charset val="134"/>
      </rPr>
      <t>0xAaBbCcDd</t>
    </r>
  </si>
  <si>
    <t>0x6064</t>
  </si>
  <si>
    <t>601： 40 64 60 00 00 00 00 00</t>
  </si>
  <si>
    <t>581： 43 64 60 00 Dd Cc Bb Aa</t>
  </si>
  <si>
    <t>Position_actual_value</t>
  </si>
  <si>
    <t>负载端位置当前值</t>
  </si>
  <si>
    <t>RO</t>
  </si>
  <si>
    <t>当前速度</t>
  </si>
  <si>
    <t>0x606C</t>
  </si>
  <si>
    <t>601： 40 6C 60 00 00 00 00 00</t>
  </si>
  <si>
    <t>581： 43 6C 60 00 Dd Cc Bb Aa</t>
  </si>
  <si>
    <t>Velocity_actual_value</t>
  </si>
  <si>
    <t>负载端速度当前值</t>
  </si>
  <si>
    <t>当前电流</t>
  </si>
  <si>
    <r>
      <rPr>
        <sz val="10.5"/>
        <color rgb="FF000000"/>
        <rFont val="Calibri"/>
        <charset val="134"/>
      </rPr>
      <t>CANopen:</t>
    </r>
    <r>
      <rPr>
        <sz val="10.5"/>
        <color rgb="FFFF0000"/>
        <rFont val="Calibri"/>
        <charset val="134"/>
      </rPr>
      <t>0xAaBbCcDd</t>
    </r>
  </si>
  <si>
    <t>0x6078</t>
  </si>
  <si>
    <t>601： 40 78 60 00 00 00 00 00</t>
  </si>
  <si>
    <t>581： 4B 78 60 00 Dd Cc Bb Aa</t>
  </si>
  <si>
    <t>Current_actual_value</t>
  </si>
  <si>
    <t>电流当前值</t>
  </si>
  <si>
    <t>错误码查询</t>
  </si>
  <si>
    <r>
      <rPr>
        <sz val="10.5"/>
        <color rgb="FF1F2329"/>
        <rFont val="Calibri"/>
        <charset val="134"/>
      </rPr>
      <t>CANopen:</t>
    </r>
    <r>
      <rPr>
        <sz val="10.5"/>
        <color rgb="FFFF0000"/>
        <rFont val="Calibri"/>
        <charset val="134"/>
      </rPr>
      <t>0xAaBbCcDd</t>
    </r>
  </si>
  <si>
    <t>603F</t>
  </si>
  <si>
    <t>601:40 3F 60 00 00 00 00 00</t>
  </si>
  <si>
    <t>581：4B 3F 60 00 Bb Aa 00 00</t>
  </si>
  <si>
    <t>error_code</t>
  </si>
  <si>
    <t>错误码</t>
  </si>
  <si>
    <t>当前模式</t>
  </si>
  <si>
    <t>0x6061</t>
  </si>
  <si>
    <t>601： 40 61 60 00 00 00 00 00</t>
  </si>
  <si>
    <t>581： 4F 61 60 00 Dd Cc Bb Aa</t>
  </si>
  <si>
    <t>Modes_of_operation_display</t>
  </si>
  <si>
    <t xml:space="preserve">运行模式 
0：空模式
1：位置模式 (PPM) 
3：速度模式 (PVM)
4：力矩模式 (TPM)
6：回零模式 
8：周期同步位置模式 (CSP)
9：周期同步速度模式 (CSV)
11：力控模式 
22：模拟量控速度模式 
23：模拟量控力矩模式 
31：脉冲控位置模式 
42：PWM控速度
60：往复位置模式
61：参考信号
62：多段运行模式
</t>
  </si>
  <si>
    <t>掉线失能</t>
  </si>
  <si>
    <t>驱动器监控主站心跳配置(设置ID和超时时间)</t>
  </si>
  <si>
    <t>ID:7F,Time:500ms</t>
  </si>
  <si>
    <t>0x007F01F4</t>
  </si>
  <si>
    <t>0x1016</t>
  </si>
  <si>
    <t>0x01</t>
  </si>
  <si>
    <t>601:  23 16 10 01 F4 01 7F 00</t>
  </si>
  <si>
    <t>581:  60 16 10 01 00 00 00 00</t>
  </si>
  <si>
    <t>启动主站心跳</t>
  </si>
  <si>
    <t>配置通信错误后的NMT行为</t>
  </si>
  <si>
    <t>0x1029</t>
  </si>
  <si>
    <t>601:  2F 29 10 01 00 00 00 00</t>
  </si>
  <si>
    <t>配置通信中断动作</t>
  </si>
  <si>
    <t>0x6007</t>
  </si>
  <si>
    <t>601:  2B 07 60 00 01 00 00 00</t>
  </si>
  <si>
    <t>581:l  60 07 60 00 00 00 00 00</t>
  </si>
  <si>
    <t>启动从站NMT</t>
  </si>
  <si>
    <t>000:  01 01</t>
  </si>
  <si>
    <t>01 = Start Remote Node
01 = Node-ID 1</t>
  </si>
  <si>
    <t>使能流程</t>
  </si>
  <si>
    <t>0x0006</t>
  </si>
  <si>
    <t>601:  2B 40 60 00 06 00 00 00</t>
  </si>
  <si>
    <t>Shutdown</t>
  </si>
  <si>
    <t>601:  2B 40 60 00 07 00 00 00</t>
  </si>
  <si>
    <t>Switch On</t>
  </si>
  <si>
    <t>使能流程（发完后电机使能）</t>
  </si>
  <si>
    <t>601  2B 40 60 00 0F 00 00 00</t>
  </si>
  <si>
    <t>Enable Operation</t>
  </si>
  <si>
    <t>此时中断主站心跳，电机失能</t>
  </si>
  <si>
    <t>601：：通讯ID为1，Uservo设定发送设备ID为0x600 + 1 = 601：。2B：发送命令字。4060：指令地址，CANopen指令为低位→高位，实际指令地址为0x6040。00：子地址。06000000：指令数据，CANopen指令为低位→高位，实际指令数据为0x00000006。</t>
  </si>
  <si>
    <t>581： 60 40 60 00 06 00 00 00</t>
  </si>
  <si>
    <t>581：：通讯ID为1，Uservo设定返回设备ID为0x580 + 1 = 581：。60：接收命令字。4060：指令地址，CANopen指令为低位→高位，实际指令地址为0x6040。00：子地址。06000000：指令数据，CANopen指令为低位→高位，实际指令数据为0x00000006。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</si>
</sst>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等线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B15D24"/>
      <name val="等线"/>
      <charset val="134"/>
      <scheme val="minor"/>
    </font>
    <font>
      <sz val="11"/>
      <color rgb="FF335593"/>
      <name val="等线"/>
      <charset val="134"/>
      <scheme val="minor"/>
    </font>
    <font>
      <sz val="10.5"/>
      <color rgb="FF000000"/>
      <name val="Calibri"/>
      <charset val="134"/>
    </font>
    <font>
      <sz val="10.5"/>
      <color rgb="FF1F2329"/>
      <name val="Calibri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FF0000"/>
      <name val="Calibri"/>
      <charset val="134"/>
    </font>
    <font>
      <sz val="10"/>
      <name val="宋体"/>
      <charset val="134"/>
    </font>
    <font>
      <b/>
      <sz val="10.5"/>
      <color theme="1"/>
      <name val="Calibri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b/>
      <sz val="12"/>
      <color theme="1"/>
      <name val="宋体"/>
      <charset val="134"/>
    </font>
    <font>
      <b/>
      <sz val="12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1" applyNumberFormat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8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71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9" fillId="0" borderId="7" xfId="0" applyFont="1" applyBorder="1"/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60"/>
  <sheetViews>
    <sheetView tabSelected="1" zoomScale="86" zoomScaleNormal="86" workbookViewId="0">
      <pane ySplit="3" topLeftCell="A46" activePane="bottomLeft" state="frozen"/>
      <selection/>
      <selection pane="bottomLeft" activeCell="K47" sqref="K47"/>
    </sheetView>
  </sheetViews>
  <sheetFormatPr defaultColWidth="14" defaultRowHeight="12.75"/>
  <cols>
    <col min="1" max="1" width="22.0190476190476" customWidth="1"/>
    <col min="2" max="2" width="48.6761904761905" customWidth="1"/>
    <col min="3" max="3" width="18.8571428571429" customWidth="1"/>
    <col min="4" max="4" width="8" customWidth="1"/>
    <col min="5" max="5" width="21" customWidth="1"/>
    <col min="6" max="6" width="8" customWidth="1"/>
    <col min="7" max="7" width="7" customWidth="1"/>
    <col min="8" max="8" width="9" customWidth="1"/>
    <col min="9" max="9" width="10" customWidth="1"/>
    <col min="10" max="10" width="31" customWidth="1"/>
    <col min="11" max="11" width="37" customWidth="1"/>
    <col min="12" max="12" width="19" customWidth="1"/>
    <col min="13" max="13" width="27" customWidth="1"/>
    <col min="14" max="15" width="7" customWidth="1"/>
    <col min="16" max="17" width="31" customWidth="1"/>
  </cols>
  <sheetData>
    <row r="1" ht="78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</row>
    <row r="2" ht="13.9" spans="1:15">
      <c r="A2" s="5" t="s">
        <v>1</v>
      </c>
      <c r="B2" s="6" t="s">
        <v>2</v>
      </c>
      <c r="C2" s="7" t="s">
        <v>3</v>
      </c>
      <c r="D2" s="7"/>
      <c r="E2" s="7"/>
      <c r="F2" s="7"/>
      <c r="G2" s="8" t="s">
        <v>4</v>
      </c>
      <c r="H2" s="8"/>
      <c r="I2" s="8" t="s">
        <v>5</v>
      </c>
      <c r="J2" s="8" t="s">
        <v>6</v>
      </c>
      <c r="K2" s="8" t="s">
        <v>7</v>
      </c>
      <c r="L2" s="9" t="s">
        <v>8</v>
      </c>
      <c r="M2" s="5" t="s">
        <v>9</v>
      </c>
      <c r="N2" s="5" t="s">
        <v>10</v>
      </c>
      <c r="O2" s="5" t="s">
        <v>11</v>
      </c>
    </row>
    <row r="3" ht="13.9" spans="1:15">
      <c r="A3" s="5"/>
      <c r="B3" s="6"/>
      <c r="C3" s="10" t="s">
        <v>12</v>
      </c>
      <c r="D3" s="10" t="s">
        <v>13</v>
      </c>
      <c r="E3" s="7" t="s">
        <v>14</v>
      </c>
      <c r="F3" s="10" t="s">
        <v>15</v>
      </c>
      <c r="G3" s="8" t="s">
        <v>16</v>
      </c>
      <c r="H3" s="8" t="s">
        <v>17</v>
      </c>
      <c r="I3" s="8" t="s">
        <v>18</v>
      </c>
      <c r="J3" s="8"/>
      <c r="K3" s="8"/>
      <c r="L3" s="9" t="s">
        <v>19</v>
      </c>
      <c r="M3" s="5" t="s">
        <v>20</v>
      </c>
      <c r="N3" s="5" t="s">
        <v>21</v>
      </c>
      <c r="O3" s="5" t="s">
        <v>22</v>
      </c>
    </row>
    <row r="4" ht="13.9" spans="1:15">
      <c r="A4" s="11" t="s">
        <v>23</v>
      </c>
      <c r="B4" s="12" t="s">
        <v>24</v>
      </c>
      <c r="C4" s="13" t="e">
        <f>HEX2DEC(E4)</f>
        <v>#NUM!</v>
      </c>
      <c r="D4" s="14"/>
      <c r="E4" s="14" t="s">
        <v>25</v>
      </c>
      <c r="F4" s="14"/>
      <c r="G4" s="15" t="s">
        <v>26</v>
      </c>
      <c r="H4" s="15" t="s">
        <v>27</v>
      </c>
      <c r="I4" s="15" t="s">
        <v>28</v>
      </c>
      <c r="J4" s="15" t="s">
        <v>29</v>
      </c>
      <c r="K4" s="15" t="s">
        <v>30</v>
      </c>
      <c r="L4" s="16" t="s">
        <v>31</v>
      </c>
      <c r="M4" s="14" t="s">
        <v>32</v>
      </c>
      <c r="N4" s="14" t="s">
        <v>33</v>
      </c>
      <c r="O4" s="14" t="s">
        <v>34</v>
      </c>
    </row>
    <row r="5" ht="27.75" spans="1:15">
      <c r="A5" s="11"/>
      <c r="B5" s="17" t="s">
        <v>35</v>
      </c>
      <c r="C5" s="13">
        <v>1</v>
      </c>
      <c r="D5" s="13"/>
      <c r="E5" s="13" t="s">
        <v>36</v>
      </c>
      <c r="F5" s="14"/>
      <c r="G5" s="18" t="s">
        <v>37</v>
      </c>
      <c r="H5" s="18" t="s">
        <v>27</v>
      </c>
      <c r="I5" s="18" t="s">
        <v>38</v>
      </c>
      <c r="J5" s="18" t="s">
        <v>39</v>
      </c>
      <c r="K5" s="18" t="s">
        <v>40</v>
      </c>
      <c r="L5" s="19" t="s">
        <v>41</v>
      </c>
      <c r="M5" s="13" t="s">
        <v>1</v>
      </c>
      <c r="N5" s="13" t="s">
        <v>33</v>
      </c>
      <c r="O5" s="13" t="s">
        <v>34</v>
      </c>
    </row>
    <row r="6" ht="13.9" spans="1:15">
      <c r="A6" s="11"/>
      <c r="B6" s="17" t="s">
        <v>42</v>
      </c>
      <c r="C6" s="13">
        <v>-10000</v>
      </c>
      <c r="D6" s="13" t="s">
        <v>43</v>
      </c>
      <c r="E6" s="13" t="s">
        <v>44</v>
      </c>
      <c r="F6" s="14" t="s">
        <v>43</v>
      </c>
      <c r="G6" s="18" t="s">
        <v>45</v>
      </c>
      <c r="H6" s="18" t="s">
        <v>27</v>
      </c>
      <c r="I6" s="18" t="s">
        <v>46</v>
      </c>
      <c r="J6" s="18" t="s">
        <v>47</v>
      </c>
      <c r="K6" s="18" t="s">
        <v>48</v>
      </c>
      <c r="L6" s="19" t="s">
        <v>49</v>
      </c>
      <c r="M6" s="13" t="s">
        <v>50</v>
      </c>
      <c r="N6" s="13" t="s">
        <v>33</v>
      </c>
      <c r="O6" s="13" t="s">
        <v>34</v>
      </c>
    </row>
    <row r="7" ht="13.9" spans="1:15">
      <c r="A7" s="11"/>
      <c r="B7" s="17" t="s">
        <v>51</v>
      </c>
      <c r="C7" s="13">
        <v>50</v>
      </c>
      <c r="D7" s="13" t="s">
        <v>52</v>
      </c>
      <c r="E7" s="13" t="str">
        <f>"0x"&amp;DEC2HEX(C7*4096/60)</f>
        <v>0xD55</v>
      </c>
      <c r="F7" s="14" t="s">
        <v>53</v>
      </c>
      <c r="G7" s="18" t="s">
        <v>54</v>
      </c>
      <c r="H7" s="18" t="s">
        <v>27</v>
      </c>
      <c r="I7" s="18" t="s">
        <v>55</v>
      </c>
      <c r="J7" s="18" t="s">
        <v>56</v>
      </c>
      <c r="K7" s="18" t="s">
        <v>57</v>
      </c>
      <c r="L7" s="19" t="s">
        <v>58</v>
      </c>
      <c r="M7" s="13" t="s">
        <v>51</v>
      </c>
      <c r="N7" s="13" t="s">
        <v>33</v>
      </c>
      <c r="O7" s="13" t="s">
        <v>34</v>
      </c>
    </row>
    <row r="8" ht="13.9" spans="1:15">
      <c r="A8" s="11"/>
      <c r="B8" s="17" t="s">
        <v>59</v>
      </c>
      <c r="C8" s="13">
        <v>1000</v>
      </c>
      <c r="D8" s="13" t="s">
        <v>52</v>
      </c>
      <c r="E8" s="13" t="str">
        <f>"0x"&amp;DEC2HEX(C8*4096/60)</f>
        <v>0x10AAA</v>
      </c>
      <c r="F8" s="14" t="s">
        <v>53</v>
      </c>
      <c r="G8" s="18" t="s">
        <v>60</v>
      </c>
      <c r="H8" s="18" t="s">
        <v>27</v>
      </c>
      <c r="I8" s="18" t="s">
        <v>55</v>
      </c>
      <c r="J8" s="18" t="s">
        <v>61</v>
      </c>
      <c r="K8" s="18" t="s">
        <v>62</v>
      </c>
      <c r="L8" s="19" t="s">
        <v>63</v>
      </c>
      <c r="M8" s="13" t="s">
        <v>64</v>
      </c>
      <c r="N8" s="13" t="s">
        <v>65</v>
      </c>
      <c r="O8" s="13" t="s">
        <v>34</v>
      </c>
    </row>
    <row r="9" ht="13.9" spans="1:15">
      <c r="A9" s="11"/>
      <c r="B9" s="17" t="s">
        <v>66</v>
      </c>
      <c r="C9" s="13">
        <v>100</v>
      </c>
      <c r="D9" s="13" t="s">
        <v>67</v>
      </c>
      <c r="E9" s="13" t="str">
        <f>"0x"&amp;DEC2HEX(C9*4096/60)</f>
        <v>0x1AAA</v>
      </c>
      <c r="F9" s="14" t="s">
        <v>68</v>
      </c>
      <c r="G9" s="18" t="s">
        <v>69</v>
      </c>
      <c r="H9" s="18" t="s">
        <v>27</v>
      </c>
      <c r="I9" s="18" t="s">
        <v>55</v>
      </c>
      <c r="J9" s="18" t="s">
        <v>70</v>
      </c>
      <c r="K9" s="18" t="s">
        <v>71</v>
      </c>
      <c r="L9" s="19" t="s">
        <v>72</v>
      </c>
      <c r="M9" s="13" t="s">
        <v>66</v>
      </c>
      <c r="N9" s="13" t="s">
        <v>73</v>
      </c>
      <c r="O9" s="13" t="s">
        <v>34</v>
      </c>
    </row>
    <row r="10" ht="13.9" spans="1:15">
      <c r="A10" s="11"/>
      <c r="B10" s="17" t="s">
        <v>74</v>
      </c>
      <c r="C10" s="13">
        <v>100</v>
      </c>
      <c r="D10" s="13" t="s">
        <v>67</v>
      </c>
      <c r="E10" s="13" t="str">
        <f>"0x"&amp;DEC2HEX(C10*4096/60)</f>
        <v>0x1AAA</v>
      </c>
      <c r="F10" s="14" t="s">
        <v>68</v>
      </c>
      <c r="G10" s="18" t="s">
        <v>75</v>
      </c>
      <c r="H10" s="18" t="s">
        <v>27</v>
      </c>
      <c r="I10" s="18" t="s">
        <v>55</v>
      </c>
      <c r="J10" s="18" t="s">
        <v>76</v>
      </c>
      <c r="K10" s="18" t="s">
        <v>77</v>
      </c>
      <c r="L10" s="19" t="s">
        <v>78</v>
      </c>
      <c r="M10" s="13" t="s">
        <v>74</v>
      </c>
      <c r="N10" s="13" t="s">
        <v>73</v>
      </c>
      <c r="O10" s="13" t="s">
        <v>34</v>
      </c>
    </row>
    <row r="11" ht="13.9" spans="1:15">
      <c r="A11" s="11"/>
      <c r="B11" s="20" t="s">
        <v>79</v>
      </c>
      <c r="C11" s="21">
        <v>15</v>
      </c>
      <c r="D11" s="21"/>
      <c r="E11" s="21" t="s">
        <v>80</v>
      </c>
      <c r="F11" s="14"/>
      <c r="G11" s="22" t="s">
        <v>26</v>
      </c>
      <c r="H11" s="22" t="s">
        <v>27</v>
      </c>
      <c r="I11" s="22" t="s">
        <v>28</v>
      </c>
      <c r="J11" s="22" t="s">
        <v>81</v>
      </c>
      <c r="K11" s="22" t="s">
        <v>30</v>
      </c>
      <c r="L11" s="23" t="s">
        <v>31</v>
      </c>
      <c r="M11" s="21" t="s">
        <v>32</v>
      </c>
      <c r="N11" s="21" t="s">
        <v>33</v>
      </c>
      <c r="O11" s="21" t="s">
        <v>34</v>
      </c>
    </row>
    <row r="12" ht="13.9" spans="1:15">
      <c r="A12" s="11"/>
      <c r="B12" s="20" t="s">
        <v>82</v>
      </c>
      <c r="C12" s="21">
        <v>63</v>
      </c>
      <c r="D12" s="21"/>
      <c r="E12" s="21" t="s">
        <v>83</v>
      </c>
      <c r="F12" s="14"/>
      <c r="G12" s="22" t="s">
        <v>26</v>
      </c>
      <c r="H12" s="22" t="s">
        <v>27</v>
      </c>
      <c r="I12" s="22" t="s">
        <v>28</v>
      </c>
      <c r="J12" s="22" t="s">
        <v>84</v>
      </c>
      <c r="K12" s="22" t="s">
        <v>30</v>
      </c>
      <c r="L12" s="23" t="s">
        <v>31</v>
      </c>
      <c r="M12" s="21" t="s">
        <v>32</v>
      </c>
      <c r="N12" s="21" t="s">
        <v>33</v>
      </c>
      <c r="O12" s="21" t="s">
        <v>34</v>
      </c>
    </row>
    <row r="13" ht="13.9" spans="1:15">
      <c r="A13" s="11"/>
      <c r="B13" s="20" t="s">
        <v>85</v>
      </c>
      <c r="C13" s="21">
        <v>319</v>
      </c>
      <c r="D13" s="21"/>
      <c r="E13" s="21" t="s">
        <v>86</v>
      </c>
      <c r="F13" s="14"/>
      <c r="G13" s="22" t="s">
        <v>26</v>
      </c>
      <c r="H13" s="22" t="s">
        <v>27</v>
      </c>
      <c r="I13" s="22" t="s">
        <v>28</v>
      </c>
      <c r="J13" s="22" t="s">
        <v>87</v>
      </c>
      <c r="K13" s="22" t="s">
        <v>30</v>
      </c>
      <c r="L13" s="23" t="s">
        <v>31</v>
      </c>
      <c r="M13" s="21" t="s">
        <v>32</v>
      </c>
      <c r="N13" s="21" t="s">
        <v>33</v>
      </c>
      <c r="O13" s="21" t="s">
        <v>34</v>
      </c>
    </row>
    <row r="14" ht="13.9" spans="1:15">
      <c r="A14" s="11"/>
      <c r="B14" s="20" t="s">
        <v>24</v>
      </c>
      <c r="C14" s="13">
        <v>6</v>
      </c>
      <c r="D14" s="21"/>
      <c r="E14" s="21" t="s">
        <v>25</v>
      </c>
      <c r="F14" s="14"/>
      <c r="G14" s="22" t="s">
        <v>26</v>
      </c>
      <c r="H14" s="22" t="s">
        <v>27</v>
      </c>
      <c r="I14" s="22" t="s">
        <v>28</v>
      </c>
      <c r="J14" s="22" t="s">
        <v>29</v>
      </c>
      <c r="K14" s="22" t="s">
        <v>30</v>
      </c>
      <c r="L14" s="23" t="s">
        <v>31</v>
      </c>
      <c r="M14" s="21" t="s">
        <v>32</v>
      </c>
      <c r="N14" s="21" t="s">
        <v>33</v>
      </c>
      <c r="O14" s="21" t="s">
        <v>34</v>
      </c>
    </row>
    <row r="15" ht="13.9" spans="1:15">
      <c r="A15" s="11"/>
      <c r="B15" s="24" t="s">
        <v>79</v>
      </c>
      <c r="C15" s="25">
        <v>15</v>
      </c>
      <c r="D15" s="25"/>
      <c r="E15" s="25" t="s">
        <v>80</v>
      </c>
      <c r="F15" s="14"/>
      <c r="G15" s="26" t="s">
        <v>26</v>
      </c>
      <c r="H15" s="26" t="s">
        <v>27</v>
      </c>
      <c r="I15" s="26" t="s">
        <v>28</v>
      </c>
      <c r="J15" s="26" t="s">
        <v>81</v>
      </c>
      <c r="K15" s="26" t="s">
        <v>30</v>
      </c>
      <c r="L15" s="27" t="s">
        <v>31</v>
      </c>
      <c r="M15" s="25" t="s">
        <v>32</v>
      </c>
      <c r="N15" s="25" t="s">
        <v>33</v>
      </c>
      <c r="O15" s="25" t="s">
        <v>34</v>
      </c>
    </row>
    <row r="16" ht="13.9" spans="1:15">
      <c r="A16" s="11"/>
      <c r="B16" s="24" t="s">
        <v>88</v>
      </c>
      <c r="C16" s="25">
        <v>127</v>
      </c>
      <c r="D16" s="25"/>
      <c r="E16" s="25" t="s">
        <v>89</v>
      </c>
      <c r="F16" s="14"/>
      <c r="G16" s="26" t="s">
        <v>26</v>
      </c>
      <c r="H16" s="26" t="s">
        <v>27</v>
      </c>
      <c r="I16" s="26" t="s">
        <v>28</v>
      </c>
      <c r="J16" s="26" t="s">
        <v>90</v>
      </c>
      <c r="K16" s="26" t="s">
        <v>30</v>
      </c>
      <c r="L16" s="27" t="s">
        <v>31</v>
      </c>
      <c r="M16" s="25" t="s">
        <v>32</v>
      </c>
      <c r="N16" s="25" t="s">
        <v>33</v>
      </c>
      <c r="O16" s="25" t="s">
        <v>34</v>
      </c>
    </row>
    <row r="17" ht="13.9" spans="1:15">
      <c r="A17" s="11"/>
      <c r="B17" s="24" t="s">
        <v>91</v>
      </c>
      <c r="C17" s="25">
        <v>383</v>
      </c>
      <c r="D17" s="25"/>
      <c r="E17" s="25" t="s">
        <v>92</v>
      </c>
      <c r="F17" s="14"/>
      <c r="G17" s="26" t="s">
        <v>26</v>
      </c>
      <c r="H17" s="26" t="s">
        <v>27</v>
      </c>
      <c r="I17" s="26" t="s">
        <v>28</v>
      </c>
      <c r="J17" s="26" t="s">
        <v>93</v>
      </c>
      <c r="K17" s="26" t="s">
        <v>30</v>
      </c>
      <c r="L17" s="27" t="s">
        <v>31</v>
      </c>
      <c r="M17" s="25" t="s">
        <v>32</v>
      </c>
      <c r="N17" s="25" t="s">
        <v>33</v>
      </c>
      <c r="O17" s="25" t="s">
        <v>34</v>
      </c>
    </row>
    <row r="18" ht="13.9" spans="1:15">
      <c r="A18" s="11"/>
      <c r="B18" s="24" t="s">
        <v>24</v>
      </c>
      <c r="C18" s="13">
        <v>6</v>
      </c>
      <c r="D18" s="25"/>
      <c r="E18" s="25" t="s">
        <v>25</v>
      </c>
      <c r="F18" s="14"/>
      <c r="G18" s="26" t="s">
        <v>26</v>
      </c>
      <c r="H18" s="26" t="s">
        <v>27</v>
      </c>
      <c r="I18" s="26" t="s">
        <v>28</v>
      </c>
      <c r="J18" s="26" t="s">
        <v>29</v>
      </c>
      <c r="K18" s="26" t="s">
        <v>30</v>
      </c>
      <c r="L18" s="27" t="s">
        <v>31</v>
      </c>
      <c r="M18" s="25" t="s">
        <v>32</v>
      </c>
      <c r="N18" s="25" t="s">
        <v>33</v>
      </c>
      <c r="O18" s="25" t="s">
        <v>34</v>
      </c>
    </row>
    <row r="19" ht="13.85" spans="1:1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30"/>
      <c r="N19" s="30"/>
      <c r="O19" s="30"/>
    </row>
    <row r="20" ht="13.9" spans="1:15">
      <c r="A20" s="13" t="s">
        <v>94</v>
      </c>
      <c r="B20" s="17" t="s">
        <v>24</v>
      </c>
      <c r="C20" s="13">
        <v>6</v>
      </c>
      <c r="D20" s="13"/>
      <c r="E20" s="13" t="s">
        <v>25</v>
      </c>
      <c r="F20" s="13"/>
      <c r="G20" s="18" t="s">
        <v>26</v>
      </c>
      <c r="H20" s="18" t="s">
        <v>27</v>
      </c>
      <c r="I20" s="18" t="s">
        <v>28</v>
      </c>
      <c r="J20" s="18" t="s">
        <v>29</v>
      </c>
      <c r="K20" s="18" t="s">
        <v>30</v>
      </c>
      <c r="L20" s="19" t="s">
        <v>31</v>
      </c>
      <c r="M20" s="13" t="s">
        <v>32</v>
      </c>
      <c r="N20" s="13" t="s">
        <v>33</v>
      </c>
      <c r="O20" s="13" t="s">
        <v>34</v>
      </c>
    </row>
    <row r="21" ht="27.75" spans="1:15">
      <c r="A21" s="13"/>
      <c r="B21" s="17" t="s">
        <v>95</v>
      </c>
      <c r="C21" s="13">
        <v>3</v>
      </c>
      <c r="D21" s="13"/>
      <c r="E21" s="13" t="s">
        <v>96</v>
      </c>
      <c r="F21" s="14"/>
      <c r="G21" s="18" t="s">
        <v>37</v>
      </c>
      <c r="H21" s="18" t="s">
        <v>27</v>
      </c>
      <c r="I21" s="18" t="s">
        <v>38</v>
      </c>
      <c r="J21" s="18" t="s">
        <v>97</v>
      </c>
      <c r="K21" s="18" t="s">
        <v>40</v>
      </c>
      <c r="L21" s="19" t="s">
        <v>41</v>
      </c>
      <c r="M21" s="13" t="s">
        <v>1</v>
      </c>
      <c r="N21" s="13" t="s">
        <v>33</v>
      </c>
      <c r="O21" s="13" t="s">
        <v>34</v>
      </c>
    </row>
    <row r="22" ht="13.9" spans="1:15">
      <c r="A22" s="13"/>
      <c r="B22" s="17" t="s">
        <v>98</v>
      </c>
      <c r="C22" s="13">
        <v>50</v>
      </c>
      <c r="D22" s="13" t="s">
        <v>52</v>
      </c>
      <c r="E22" s="13" t="str">
        <f>"0x"&amp;DEC2HEX(C22*4096/60)</f>
        <v>0xD55</v>
      </c>
      <c r="F22" s="14" t="s">
        <v>53</v>
      </c>
      <c r="G22" s="18" t="s">
        <v>99</v>
      </c>
      <c r="H22" s="18" t="s">
        <v>27</v>
      </c>
      <c r="I22" s="18" t="s">
        <v>46</v>
      </c>
      <c r="J22" s="18" t="s">
        <v>100</v>
      </c>
      <c r="K22" s="18" t="s">
        <v>101</v>
      </c>
      <c r="L22" s="19" t="s">
        <v>102</v>
      </c>
      <c r="M22" s="13" t="s">
        <v>103</v>
      </c>
      <c r="N22" s="13" t="s">
        <v>33</v>
      </c>
      <c r="O22" s="13" t="s">
        <v>34</v>
      </c>
    </row>
    <row r="23" ht="13.9" spans="1:15">
      <c r="A23" s="13"/>
      <c r="B23" s="17" t="s">
        <v>66</v>
      </c>
      <c r="C23" s="13">
        <v>100</v>
      </c>
      <c r="D23" s="13" t="s">
        <v>67</v>
      </c>
      <c r="E23" s="13" t="str">
        <f>"0x"&amp;DEC2HEX(C23*4096/60)</f>
        <v>0x1AAA</v>
      </c>
      <c r="F23" s="14" t="s">
        <v>68</v>
      </c>
      <c r="G23" s="18" t="s">
        <v>69</v>
      </c>
      <c r="H23" s="18" t="s">
        <v>27</v>
      </c>
      <c r="I23" s="18" t="s">
        <v>55</v>
      </c>
      <c r="J23" s="18" t="s">
        <v>70</v>
      </c>
      <c r="K23" s="18" t="s">
        <v>71</v>
      </c>
      <c r="L23" s="19" t="s">
        <v>72</v>
      </c>
      <c r="M23" s="13" t="s">
        <v>66</v>
      </c>
      <c r="N23" s="13" t="s">
        <v>73</v>
      </c>
      <c r="O23" s="13" t="s">
        <v>34</v>
      </c>
    </row>
    <row r="24" ht="13.9" spans="1:15">
      <c r="A24" s="13"/>
      <c r="B24" s="17" t="s">
        <v>74</v>
      </c>
      <c r="C24" s="13">
        <v>100</v>
      </c>
      <c r="D24" s="13" t="s">
        <v>67</v>
      </c>
      <c r="E24" s="13" t="str">
        <f>"0x"&amp;DEC2HEX(C24*4096/60)</f>
        <v>0x1AAA</v>
      </c>
      <c r="F24" s="14" t="s">
        <v>68</v>
      </c>
      <c r="G24" s="18" t="s">
        <v>75</v>
      </c>
      <c r="H24" s="18" t="s">
        <v>27</v>
      </c>
      <c r="I24" s="18" t="s">
        <v>55</v>
      </c>
      <c r="J24" s="18" t="s">
        <v>76</v>
      </c>
      <c r="K24" s="18" t="s">
        <v>77</v>
      </c>
      <c r="L24" s="19" t="s">
        <v>78</v>
      </c>
      <c r="M24" s="13" t="s">
        <v>74</v>
      </c>
      <c r="N24" s="13" t="s">
        <v>73</v>
      </c>
      <c r="O24" s="13" t="s">
        <v>34</v>
      </c>
    </row>
    <row r="25" ht="13.9" spans="1:15">
      <c r="A25" s="13"/>
      <c r="B25" s="17" t="s">
        <v>59</v>
      </c>
      <c r="C25" s="13">
        <v>1000</v>
      </c>
      <c r="D25" s="13" t="s">
        <v>52</v>
      </c>
      <c r="E25" s="13" t="str">
        <f>"0x"&amp;DEC2HEX(C25*4096/60)</f>
        <v>0x10AAA</v>
      </c>
      <c r="F25" s="14" t="s">
        <v>53</v>
      </c>
      <c r="G25" s="18" t="s">
        <v>60</v>
      </c>
      <c r="H25" s="18" t="s">
        <v>27</v>
      </c>
      <c r="I25" s="18" t="s">
        <v>55</v>
      </c>
      <c r="J25" s="18" t="s">
        <v>61</v>
      </c>
      <c r="K25" s="18" t="s">
        <v>62</v>
      </c>
      <c r="L25" s="19" t="s">
        <v>63</v>
      </c>
      <c r="M25" s="13" t="s">
        <v>64</v>
      </c>
      <c r="N25" s="13" t="s">
        <v>65</v>
      </c>
      <c r="O25" s="13" t="s">
        <v>34</v>
      </c>
    </row>
    <row r="26" ht="13.9" spans="1:15">
      <c r="A26" s="13"/>
      <c r="B26" s="17" t="s">
        <v>104</v>
      </c>
      <c r="C26" s="13">
        <v>15</v>
      </c>
      <c r="D26" s="13"/>
      <c r="E26" s="13" t="s">
        <v>80</v>
      </c>
      <c r="F26" s="14"/>
      <c r="G26" s="18" t="s">
        <v>26</v>
      </c>
      <c r="H26" s="18" t="s">
        <v>27</v>
      </c>
      <c r="I26" s="18" t="s">
        <v>28</v>
      </c>
      <c r="J26" s="18" t="s">
        <v>81</v>
      </c>
      <c r="K26" s="18" t="s">
        <v>30</v>
      </c>
      <c r="L26" s="19" t="s">
        <v>31</v>
      </c>
      <c r="M26" s="13" t="s">
        <v>32</v>
      </c>
      <c r="N26" s="13" t="s">
        <v>33</v>
      </c>
      <c r="O26" s="13" t="s">
        <v>34</v>
      </c>
    </row>
    <row r="27" ht="13.9" spans="1:15">
      <c r="A27" s="13"/>
      <c r="B27" s="17" t="s">
        <v>105</v>
      </c>
      <c r="C27" s="13">
        <v>271</v>
      </c>
      <c r="D27" s="13"/>
      <c r="E27" s="13" t="s">
        <v>106</v>
      </c>
      <c r="F27" s="14"/>
      <c r="G27" s="18" t="s">
        <v>26</v>
      </c>
      <c r="H27" s="18" t="s">
        <v>27</v>
      </c>
      <c r="I27" s="18" t="s">
        <v>28</v>
      </c>
      <c r="J27" s="18" t="s">
        <v>107</v>
      </c>
      <c r="K27" s="18" t="s">
        <v>30</v>
      </c>
      <c r="L27" s="19" t="s">
        <v>31</v>
      </c>
      <c r="M27" s="13" t="s">
        <v>32</v>
      </c>
      <c r="N27" s="13" t="s">
        <v>33</v>
      </c>
      <c r="O27" s="13" t="s">
        <v>34</v>
      </c>
    </row>
    <row r="28" ht="13.9" spans="1:15">
      <c r="A28" s="13"/>
      <c r="B28" s="17" t="s">
        <v>24</v>
      </c>
      <c r="C28" s="13">
        <v>6</v>
      </c>
      <c r="D28" s="13"/>
      <c r="E28" s="13" t="s">
        <v>25</v>
      </c>
      <c r="F28" s="14"/>
      <c r="G28" s="18" t="s">
        <v>26</v>
      </c>
      <c r="H28" s="18" t="s">
        <v>27</v>
      </c>
      <c r="I28" s="18" t="s">
        <v>28</v>
      </c>
      <c r="J28" s="18" t="s">
        <v>29</v>
      </c>
      <c r="K28" s="18" t="s">
        <v>30</v>
      </c>
      <c r="L28" s="19" t="s">
        <v>31</v>
      </c>
      <c r="M28" s="13" t="s">
        <v>32</v>
      </c>
      <c r="N28" s="13" t="s">
        <v>33</v>
      </c>
      <c r="O28" s="13" t="s">
        <v>34</v>
      </c>
    </row>
    <row r="29" ht="13.85" spans="1:15">
      <c r="A29" s="28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M29" s="30"/>
      <c r="N29" s="30"/>
      <c r="O29" s="30"/>
    </row>
    <row r="30" ht="13.9" spans="1:15">
      <c r="A30" s="13" t="s">
        <v>108</v>
      </c>
      <c r="B30" s="17" t="s">
        <v>24</v>
      </c>
      <c r="C30" s="13">
        <v>6</v>
      </c>
      <c r="D30" s="13"/>
      <c r="E30" s="13" t="s">
        <v>25</v>
      </c>
      <c r="F30" s="13"/>
      <c r="G30" s="18" t="s">
        <v>26</v>
      </c>
      <c r="H30" s="18" t="s">
        <v>27</v>
      </c>
      <c r="I30" s="18" t="s">
        <v>28</v>
      </c>
      <c r="J30" s="18" t="s">
        <v>29</v>
      </c>
      <c r="K30" s="18" t="s">
        <v>30</v>
      </c>
      <c r="L30" s="19" t="s">
        <v>31</v>
      </c>
      <c r="M30" s="13" t="s">
        <v>32</v>
      </c>
      <c r="N30" s="13" t="s">
        <v>33</v>
      </c>
      <c r="O30" s="13" t="s">
        <v>34</v>
      </c>
    </row>
    <row r="31" ht="27.75" spans="1:15">
      <c r="A31" s="13"/>
      <c r="B31" s="17" t="s">
        <v>109</v>
      </c>
      <c r="C31" s="13">
        <v>4</v>
      </c>
      <c r="D31" s="13"/>
      <c r="E31" s="13" t="s">
        <v>110</v>
      </c>
      <c r="F31" s="14"/>
      <c r="G31" s="18" t="s">
        <v>37</v>
      </c>
      <c r="H31" s="18" t="s">
        <v>27</v>
      </c>
      <c r="I31" s="18" t="s">
        <v>38</v>
      </c>
      <c r="J31" s="18" t="s">
        <v>111</v>
      </c>
      <c r="K31" s="18" t="s">
        <v>40</v>
      </c>
      <c r="L31" s="19" t="s">
        <v>41</v>
      </c>
      <c r="M31" s="13" t="s">
        <v>1</v>
      </c>
      <c r="N31" s="13" t="s">
        <v>33</v>
      </c>
      <c r="O31" s="13" t="s">
        <v>34</v>
      </c>
    </row>
    <row r="32" ht="41.65" spans="1:15">
      <c r="A32" s="13"/>
      <c r="B32" s="17" t="s">
        <v>112</v>
      </c>
      <c r="C32" s="13">
        <v>500</v>
      </c>
      <c r="D32" s="13" t="s">
        <v>113</v>
      </c>
      <c r="E32" s="13" t="s">
        <v>114</v>
      </c>
      <c r="F32" s="11" t="s">
        <v>115</v>
      </c>
      <c r="G32" s="18" t="s">
        <v>116</v>
      </c>
      <c r="H32" s="18" t="s">
        <v>27</v>
      </c>
      <c r="I32" s="18" t="s">
        <v>117</v>
      </c>
      <c r="J32" s="18" t="s">
        <v>118</v>
      </c>
      <c r="K32" s="18" t="s">
        <v>119</v>
      </c>
      <c r="L32" s="19" t="s">
        <v>120</v>
      </c>
      <c r="M32" s="13" t="s">
        <v>121</v>
      </c>
      <c r="N32" s="13" t="s">
        <v>33</v>
      </c>
      <c r="O32" s="13" t="s">
        <v>34</v>
      </c>
    </row>
    <row r="33" ht="13.9" spans="1:15">
      <c r="A33" s="13"/>
      <c r="B33" s="17" t="s">
        <v>122</v>
      </c>
      <c r="C33" s="13">
        <v>1000</v>
      </c>
      <c r="D33" s="13" t="s">
        <v>123</v>
      </c>
      <c r="E33" s="13" t="s">
        <v>124</v>
      </c>
      <c r="F33" s="14"/>
      <c r="G33" s="18" t="s">
        <v>125</v>
      </c>
      <c r="H33" s="18" t="s">
        <v>27</v>
      </c>
      <c r="I33" s="18" t="s">
        <v>55</v>
      </c>
      <c r="J33" s="18" t="s">
        <v>126</v>
      </c>
      <c r="K33" s="18" t="s">
        <v>127</v>
      </c>
      <c r="L33" s="19" t="s">
        <v>128</v>
      </c>
      <c r="M33" s="13" t="s">
        <v>122</v>
      </c>
      <c r="N33" s="13" t="s">
        <v>124</v>
      </c>
      <c r="O33" s="13" t="s">
        <v>34</v>
      </c>
    </row>
    <row r="34" ht="13.9" spans="1:15">
      <c r="A34" s="13"/>
      <c r="B34" s="17" t="s">
        <v>104</v>
      </c>
      <c r="C34" s="13">
        <v>15</v>
      </c>
      <c r="D34" s="13"/>
      <c r="E34" s="13" t="s">
        <v>80</v>
      </c>
      <c r="F34" s="14"/>
      <c r="G34" s="18" t="s">
        <v>26</v>
      </c>
      <c r="H34" s="18" t="s">
        <v>27</v>
      </c>
      <c r="I34" s="18" t="s">
        <v>28</v>
      </c>
      <c r="J34" s="18" t="s">
        <v>81</v>
      </c>
      <c r="K34" s="18" t="s">
        <v>30</v>
      </c>
      <c r="L34" s="19" t="s">
        <v>31</v>
      </c>
      <c r="M34" s="13" t="s">
        <v>32</v>
      </c>
      <c r="N34" s="13" t="s">
        <v>33</v>
      </c>
      <c r="O34" s="13" t="s">
        <v>34</v>
      </c>
    </row>
    <row r="35" ht="13.9" spans="1:15">
      <c r="A35" s="13"/>
      <c r="B35" s="17" t="s">
        <v>105</v>
      </c>
      <c r="C35" s="13">
        <v>271</v>
      </c>
      <c r="D35" s="13"/>
      <c r="E35" s="13" t="s">
        <v>106</v>
      </c>
      <c r="F35" s="14"/>
      <c r="G35" s="18" t="s">
        <v>26</v>
      </c>
      <c r="H35" s="18" t="s">
        <v>27</v>
      </c>
      <c r="I35" s="18" t="s">
        <v>28</v>
      </c>
      <c r="J35" s="18" t="s">
        <v>107</v>
      </c>
      <c r="K35" s="18" t="s">
        <v>30</v>
      </c>
      <c r="L35" s="19" t="s">
        <v>31</v>
      </c>
      <c r="M35" s="13" t="s">
        <v>32</v>
      </c>
      <c r="N35" s="13" t="s">
        <v>33</v>
      </c>
      <c r="O35" s="13" t="s">
        <v>34</v>
      </c>
    </row>
    <row r="36" ht="13.9" spans="1:15">
      <c r="A36" s="13"/>
      <c r="B36" s="17" t="s">
        <v>24</v>
      </c>
      <c r="C36" s="13">
        <v>6</v>
      </c>
      <c r="D36" s="13"/>
      <c r="E36" s="13" t="s">
        <v>25</v>
      </c>
      <c r="F36" s="14"/>
      <c r="G36" s="18" t="s">
        <v>26</v>
      </c>
      <c r="H36" s="18" t="s">
        <v>27</v>
      </c>
      <c r="I36" s="18" t="s">
        <v>28</v>
      </c>
      <c r="J36" s="18" t="s">
        <v>29</v>
      </c>
      <c r="K36" s="18" t="s">
        <v>30</v>
      </c>
      <c r="L36" s="19" t="s">
        <v>31</v>
      </c>
      <c r="M36" s="13" t="s">
        <v>32</v>
      </c>
      <c r="N36" s="13" t="s">
        <v>33</v>
      </c>
      <c r="O36" s="13" t="s">
        <v>34</v>
      </c>
    </row>
    <row r="37" ht="13.85" spans="1:15">
      <c r="A37" s="28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0"/>
      <c r="N37" s="30"/>
      <c r="O37" s="30"/>
    </row>
    <row r="38" ht="13.85" spans="1:15">
      <c r="A38" s="30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30"/>
      <c r="N38" s="30"/>
      <c r="O38" s="30"/>
    </row>
    <row r="39" ht="13.85" spans="1:15">
      <c r="A39" s="28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  <c r="M39" s="30"/>
      <c r="N39" s="30"/>
      <c r="O39" s="30"/>
    </row>
    <row r="40" ht="13.9" spans="1:15">
      <c r="A40" s="32" t="s">
        <v>129</v>
      </c>
      <c r="B40" s="33" t="s">
        <v>130</v>
      </c>
      <c r="C40" s="13">
        <v>6</v>
      </c>
      <c r="D40" s="32"/>
      <c r="E40" s="32" t="s">
        <v>25</v>
      </c>
      <c r="F40" s="32"/>
      <c r="G40" s="34" t="s">
        <v>26</v>
      </c>
      <c r="H40" s="34" t="s">
        <v>27</v>
      </c>
      <c r="I40" s="35" t="s">
        <v>28</v>
      </c>
      <c r="J40" s="18" t="s">
        <v>29</v>
      </c>
      <c r="K40" s="18" t="s">
        <v>30</v>
      </c>
      <c r="L40" s="19" t="s">
        <v>31</v>
      </c>
      <c r="M40" s="13" t="s">
        <v>32</v>
      </c>
      <c r="N40" s="13" t="s">
        <v>33</v>
      </c>
      <c r="O40" s="13" t="s">
        <v>34</v>
      </c>
    </row>
    <row r="41" ht="13.9" spans="1:15">
      <c r="A41" s="32"/>
      <c r="B41" s="33" t="s">
        <v>131</v>
      </c>
      <c r="C41" s="32">
        <v>128</v>
      </c>
      <c r="D41" s="32"/>
      <c r="E41" s="32" t="s">
        <v>132</v>
      </c>
      <c r="F41" s="32"/>
      <c r="G41" s="34" t="s">
        <v>26</v>
      </c>
      <c r="H41" s="34" t="s">
        <v>27</v>
      </c>
      <c r="I41" s="35" t="s">
        <v>28</v>
      </c>
      <c r="J41" s="18" t="s">
        <v>133</v>
      </c>
      <c r="K41" s="18" t="s">
        <v>30</v>
      </c>
      <c r="L41" s="19" t="s">
        <v>31</v>
      </c>
      <c r="M41" s="36" t="s">
        <v>32</v>
      </c>
      <c r="N41" s="13" t="s">
        <v>33</v>
      </c>
      <c r="O41" s="13" t="s">
        <v>34</v>
      </c>
    </row>
    <row r="42" ht="13.85" spans="1:15">
      <c r="A42" s="28"/>
      <c r="B42" s="29"/>
      <c r="C42" s="30"/>
      <c r="D42" s="30"/>
      <c r="E42" s="37"/>
      <c r="F42" s="30"/>
      <c r="G42" s="30"/>
      <c r="H42" s="30"/>
      <c r="I42" s="30"/>
      <c r="J42" s="30"/>
      <c r="K42" s="30"/>
      <c r="L42" s="31"/>
      <c r="M42" s="30"/>
      <c r="N42" s="30"/>
      <c r="O42" s="30"/>
    </row>
    <row r="43" ht="27.75" spans="1:15">
      <c r="A43" s="36" t="s">
        <v>134</v>
      </c>
      <c r="B43" s="17" t="s">
        <v>135</v>
      </c>
      <c r="C43" s="13"/>
      <c r="D43" s="13" t="s">
        <v>43</v>
      </c>
      <c r="E43" s="38" t="s">
        <v>136</v>
      </c>
      <c r="F43" s="13" t="s">
        <v>43</v>
      </c>
      <c r="G43" s="35" t="s">
        <v>137</v>
      </c>
      <c r="H43" s="18" t="s">
        <v>27</v>
      </c>
      <c r="I43" s="18" t="s">
        <v>46</v>
      </c>
      <c r="J43" s="18" t="s">
        <v>138</v>
      </c>
      <c r="K43" s="18" t="s">
        <v>139</v>
      </c>
      <c r="L43" s="19" t="s">
        <v>140</v>
      </c>
      <c r="M43" s="13" t="s">
        <v>141</v>
      </c>
      <c r="N43" s="13" t="s">
        <v>33</v>
      </c>
      <c r="O43" s="13" t="s">
        <v>142</v>
      </c>
    </row>
    <row r="44" ht="27.75" spans="1:15">
      <c r="A44" s="36"/>
      <c r="B44" s="17" t="s">
        <v>143</v>
      </c>
      <c r="C44" s="13"/>
      <c r="D44" s="13" t="s">
        <v>53</v>
      </c>
      <c r="E44" s="38" t="s">
        <v>136</v>
      </c>
      <c r="F44" s="13" t="s">
        <v>53</v>
      </c>
      <c r="G44" s="35" t="s">
        <v>144</v>
      </c>
      <c r="H44" s="18" t="s">
        <v>27</v>
      </c>
      <c r="I44" s="18" t="s">
        <v>46</v>
      </c>
      <c r="J44" s="18" t="s">
        <v>145</v>
      </c>
      <c r="K44" s="18" t="s">
        <v>146</v>
      </c>
      <c r="L44" s="19" t="s">
        <v>147</v>
      </c>
      <c r="M44" s="13" t="s">
        <v>148</v>
      </c>
      <c r="N44" s="13" t="s">
        <v>33</v>
      </c>
      <c r="O44" s="13" t="s">
        <v>142</v>
      </c>
    </row>
    <row r="45" ht="41.65" spans="1:15">
      <c r="A45" s="36"/>
      <c r="B45" s="17" t="s">
        <v>149</v>
      </c>
      <c r="C45" s="13"/>
      <c r="D45" s="13" t="s">
        <v>113</v>
      </c>
      <c r="E45" s="38" t="s">
        <v>150</v>
      </c>
      <c r="F45" s="36" t="s">
        <v>115</v>
      </c>
      <c r="G45" s="35" t="s">
        <v>151</v>
      </c>
      <c r="H45" s="18" t="s">
        <v>27</v>
      </c>
      <c r="I45" s="18" t="s">
        <v>117</v>
      </c>
      <c r="J45" s="18" t="s">
        <v>152</v>
      </c>
      <c r="K45" s="18" t="s">
        <v>153</v>
      </c>
      <c r="L45" s="19" t="s">
        <v>154</v>
      </c>
      <c r="M45" s="13" t="s">
        <v>155</v>
      </c>
      <c r="N45" s="13" t="s">
        <v>33</v>
      </c>
      <c r="O45" s="13" t="s">
        <v>142</v>
      </c>
    </row>
    <row r="46" ht="62" customHeight="1" spans="1:15">
      <c r="A46" s="36"/>
      <c r="B46" s="17" t="s">
        <v>156</v>
      </c>
      <c r="C46" s="13"/>
      <c r="D46" s="13"/>
      <c r="E46" s="39" t="s">
        <v>157</v>
      </c>
      <c r="F46" s="14"/>
      <c r="G46" s="35" t="s">
        <v>158</v>
      </c>
      <c r="H46" s="18" t="s">
        <v>27</v>
      </c>
      <c r="I46" s="18" t="s">
        <v>117</v>
      </c>
      <c r="J46" s="18" t="s">
        <v>159</v>
      </c>
      <c r="K46" s="18" t="s">
        <v>160</v>
      </c>
      <c r="L46" s="19" t="s">
        <v>161</v>
      </c>
      <c r="M46" s="19" t="s">
        <v>162</v>
      </c>
      <c r="N46" s="13" t="s">
        <v>33</v>
      </c>
      <c r="O46" s="13" t="s">
        <v>142</v>
      </c>
    </row>
    <row r="47" ht="235.5" spans="1:15">
      <c r="A47" s="36"/>
      <c r="B47" s="17" t="s">
        <v>163</v>
      </c>
      <c r="C47" s="13"/>
      <c r="D47" s="13"/>
      <c r="E47" s="38" t="s">
        <v>150</v>
      </c>
      <c r="F47" s="14"/>
      <c r="G47" s="35" t="s">
        <v>164</v>
      </c>
      <c r="H47" s="18" t="s">
        <v>27</v>
      </c>
      <c r="I47" s="18" t="s">
        <v>38</v>
      </c>
      <c r="J47" s="18" t="s">
        <v>165</v>
      </c>
      <c r="K47" s="18" t="s">
        <v>166</v>
      </c>
      <c r="L47" s="19" t="s">
        <v>167</v>
      </c>
      <c r="M47" s="19" t="s">
        <v>168</v>
      </c>
      <c r="N47" s="13" t="s">
        <v>33</v>
      </c>
      <c r="O47" s="13" t="s">
        <v>142</v>
      </c>
    </row>
    <row r="48" ht="13.85" spans="1:15">
      <c r="A48" s="30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1"/>
      <c r="M48" s="30"/>
      <c r="N48" s="30"/>
      <c r="O48" s="30"/>
    </row>
    <row r="49" ht="13.85" spans="1:15">
      <c r="A49" s="40" t="s">
        <v>169</v>
      </c>
      <c r="B49" s="40" t="s">
        <v>170</v>
      </c>
      <c r="C49" s="41" t="s">
        <v>171</v>
      </c>
      <c r="D49" s="40"/>
      <c r="E49" s="40" t="s">
        <v>172</v>
      </c>
      <c r="F49" s="40"/>
      <c r="G49" s="35" t="s">
        <v>173</v>
      </c>
      <c r="H49" s="18" t="s">
        <v>174</v>
      </c>
      <c r="I49" s="18"/>
      <c r="J49" s="18" t="s">
        <v>175</v>
      </c>
      <c r="K49" s="18" t="s">
        <v>176</v>
      </c>
      <c r="L49" s="42"/>
      <c r="M49" s="40"/>
      <c r="N49" s="40"/>
      <c r="O49" s="40"/>
    </row>
    <row r="50" ht="13.85" spans="1:15">
      <c r="A50" s="40"/>
      <c r="B50" s="40" t="s">
        <v>177</v>
      </c>
      <c r="C50" s="41"/>
      <c r="D50" s="40"/>
      <c r="E50" s="40"/>
      <c r="F50" s="40"/>
      <c r="G50" s="35"/>
      <c r="H50" s="18"/>
      <c r="I50" s="18"/>
      <c r="J50" s="18"/>
      <c r="K50" s="18"/>
      <c r="L50" s="42"/>
      <c r="M50" s="40"/>
      <c r="N50" s="40"/>
      <c r="O50" s="40"/>
    </row>
    <row r="51" ht="13.85" spans="1:15">
      <c r="A51" s="40"/>
      <c r="B51" s="40" t="s">
        <v>178</v>
      </c>
      <c r="C51" s="41"/>
      <c r="D51" s="40"/>
      <c r="E51" s="40"/>
      <c r="F51" s="40"/>
      <c r="G51" s="35" t="s">
        <v>179</v>
      </c>
      <c r="H51" s="18" t="s">
        <v>174</v>
      </c>
      <c r="I51" s="18"/>
      <c r="J51" s="18" t="s">
        <v>180</v>
      </c>
      <c r="K51" s="18"/>
      <c r="L51" s="42"/>
      <c r="M51" s="40"/>
      <c r="N51" s="40"/>
      <c r="O51" s="40"/>
    </row>
    <row r="52" ht="13.85" spans="1:15">
      <c r="A52" s="40"/>
      <c r="B52" s="40" t="s">
        <v>181</v>
      </c>
      <c r="C52" s="41"/>
      <c r="D52" s="40"/>
      <c r="E52" s="40"/>
      <c r="F52" s="40"/>
      <c r="G52" s="35" t="s">
        <v>182</v>
      </c>
      <c r="H52" s="18" t="s">
        <v>27</v>
      </c>
      <c r="I52" s="18"/>
      <c r="J52" s="18" t="s">
        <v>183</v>
      </c>
      <c r="K52" s="18" t="s">
        <v>184</v>
      </c>
      <c r="L52" s="42"/>
      <c r="M52" s="40"/>
      <c r="N52" s="40"/>
      <c r="O52" s="40"/>
    </row>
    <row r="53" ht="27.75" spans="1:15">
      <c r="A53" s="40"/>
      <c r="B53" s="40" t="s">
        <v>185</v>
      </c>
      <c r="C53" s="41"/>
      <c r="D53" s="40"/>
      <c r="E53" s="40"/>
      <c r="F53" s="40"/>
      <c r="G53" s="35"/>
      <c r="H53" s="18"/>
      <c r="I53" s="18"/>
      <c r="J53" s="18" t="s">
        <v>186</v>
      </c>
      <c r="K53" s="18"/>
      <c r="L53" s="42"/>
      <c r="M53" s="43" t="s">
        <v>187</v>
      </c>
      <c r="N53" s="40"/>
      <c r="O53" s="40"/>
    </row>
    <row r="54" ht="13.85" spans="1:15">
      <c r="A54" s="44"/>
      <c r="B54" s="44" t="s">
        <v>188</v>
      </c>
      <c r="C54" s="45"/>
      <c r="D54" s="44"/>
      <c r="E54" s="44" t="s">
        <v>189</v>
      </c>
      <c r="F54" s="44"/>
      <c r="G54" s="35" t="s">
        <v>26</v>
      </c>
      <c r="H54" s="18" t="s">
        <v>27</v>
      </c>
      <c r="I54" s="18"/>
      <c r="J54" s="18" t="s">
        <v>190</v>
      </c>
      <c r="K54" s="18"/>
      <c r="L54" s="46"/>
      <c r="M54" s="47" t="s">
        <v>191</v>
      </c>
      <c r="N54" s="44"/>
      <c r="O54" s="44"/>
    </row>
    <row r="55" customFormat="1" ht="13.85" spans="1:15">
      <c r="A55" s="40"/>
      <c r="B55" s="40" t="s">
        <v>188</v>
      </c>
      <c r="C55" s="41"/>
      <c r="D55" s="40"/>
      <c r="E55" s="40"/>
      <c r="F55" s="40"/>
      <c r="G55" s="35"/>
      <c r="H55" s="18"/>
      <c r="I55" s="18"/>
      <c r="J55" s="18" t="s">
        <v>192</v>
      </c>
      <c r="K55" s="18"/>
      <c r="L55" s="42"/>
      <c r="M55" s="47" t="s">
        <v>193</v>
      </c>
      <c r="N55" s="40"/>
      <c r="O55" s="40"/>
    </row>
    <row r="56" customFormat="1" ht="13.85" spans="1:15">
      <c r="A56" s="40"/>
      <c r="B56" s="40" t="s">
        <v>194</v>
      </c>
      <c r="C56" s="41"/>
      <c r="D56" s="40"/>
      <c r="E56" s="40"/>
      <c r="F56" s="40"/>
      <c r="G56" s="35"/>
      <c r="H56" s="18"/>
      <c r="I56" s="18"/>
      <c r="J56" s="18" t="s">
        <v>195</v>
      </c>
      <c r="K56" s="18"/>
      <c r="L56" s="42"/>
      <c r="M56" s="47" t="s">
        <v>196</v>
      </c>
      <c r="N56" s="40"/>
      <c r="O56" s="40"/>
    </row>
    <row r="57" customFormat="1" ht="13.85" spans="1:15">
      <c r="A57" s="40"/>
      <c r="B57" s="40" t="s">
        <v>197</v>
      </c>
      <c r="C57" s="41"/>
      <c r="D57" s="40"/>
      <c r="E57" s="40"/>
      <c r="F57" s="40"/>
      <c r="G57" s="35"/>
      <c r="H57" s="18"/>
      <c r="I57" s="18"/>
      <c r="J57" s="18"/>
      <c r="K57" s="18"/>
      <c r="L57" s="42"/>
      <c r="M57" s="40"/>
      <c r="N57" s="40"/>
      <c r="O57" s="40"/>
    </row>
    <row r="58" customFormat="1" ht="13.85" spans="1:15">
      <c r="A58" s="48"/>
      <c r="B58" s="48"/>
      <c r="C58" s="49"/>
      <c r="D58" s="50"/>
      <c r="E58" s="50"/>
      <c r="F58" s="50"/>
      <c r="G58" s="50"/>
      <c r="H58" s="50"/>
      <c r="I58" s="50"/>
      <c r="J58" s="50"/>
      <c r="K58" s="50"/>
      <c r="L58" s="51"/>
      <c r="M58" s="50"/>
      <c r="N58" s="50"/>
      <c r="O58" s="50"/>
    </row>
    <row r="59" s="1" customFormat="1" ht="13.85" spans="1:15">
      <c r="A59" s="52"/>
      <c r="B59" s="52"/>
      <c r="C59" s="53"/>
      <c r="D59" s="54"/>
      <c r="E59" s="54"/>
      <c r="F59" s="54"/>
      <c r="G59" s="54"/>
      <c r="H59" s="54"/>
      <c r="I59" s="54"/>
      <c r="J59" s="54"/>
      <c r="K59" s="54"/>
      <c r="L59" s="55"/>
      <c r="M59" s="54"/>
      <c r="N59" s="54"/>
      <c r="O59" s="54"/>
    </row>
    <row r="60" ht="13.85" spans="1:15">
      <c r="A60" s="56"/>
      <c r="B60" s="57" t="s">
        <v>6</v>
      </c>
      <c r="C60" s="29" t="s">
        <v>29</v>
      </c>
      <c r="D60" s="30"/>
      <c r="E60" s="30"/>
      <c r="F60" s="30"/>
      <c r="G60" s="30"/>
      <c r="H60" s="30"/>
      <c r="I60" s="30"/>
      <c r="J60" s="30"/>
      <c r="K60" s="30"/>
      <c r="L60" s="31"/>
      <c r="M60" s="30"/>
      <c r="N60" s="30"/>
      <c r="O60" s="58"/>
    </row>
    <row r="61" ht="13.85" spans="1:15">
      <c r="A61" s="59"/>
      <c r="B61" s="60"/>
      <c r="C61" s="61" t="s">
        <v>198</v>
      </c>
      <c r="D61" s="62"/>
      <c r="E61" s="62"/>
      <c r="F61" s="62"/>
      <c r="G61" s="62"/>
      <c r="H61" s="62"/>
      <c r="I61" s="62"/>
      <c r="J61" s="62"/>
      <c r="K61" s="62"/>
      <c r="L61" s="63"/>
      <c r="M61" s="62"/>
      <c r="N61" s="62"/>
      <c r="O61" s="64"/>
    </row>
    <row r="62" ht="13.85" spans="1:15">
      <c r="A62" s="59"/>
      <c r="B62" s="65" t="s">
        <v>7</v>
      </c>
      <c r="C62" s="66" t="s">
        <v>199</v>
      </c>
      <c r="D62" s="67"/>
      <c r="E62" s="67"/>
      <c r="F62" s="67"/>
      <c r="G62" s="67"/>
      <c r="H62" s="67"/>
      <c r="I62" s="67"/>
      <c r="J62" s="67"/>
      <c r="K62" s="67"/>
      <c r="L62" s="68"/>
      <c r="M62" s="67"/>
      <c r="N62" s="67"/>
      <c r="O62" s="69"/>
    </row>
    <row r="63" ht="13.85" spans="1:15">
      <c r="A63" s="59"/>
      <c r="B63" s="65"/>
      <c r="C63" s="61" t="s">
        <v>200</v>
      </c>
      <c r="D63" s="62"/>
      <c r="E63" s="62"/>
      <c r="F63" s="62"/>
      <c r="G63" s="62"/>
      <c r="H63" s="62"/>
      <c r="I63" s="62"/>
      <c r="J63" s="62"/>
      <c r="K63" s="62"/>
      <c r="L63" s="63"/>
      <c r="M63" s="62"/>
      <c r="N63" s="62"/>
      <c r="O63" s="64"/>
    </row>
    <row r="64" spans="1:15">
      <c r="L64" s="70"/>
    </row>
    <row r="65" spans="12:12">
      <c r="L65" s="70"/>
    </row>
    <row r="66" spans="12:12">
      <c r="L66" s="70"/>
    </row>
    <row r="67" spans="12:12">
      <c r="L67" s="70"/>
    </row>
    <row r="68" spans="12:12">
      <c r="L68" s="70"/>
    </row>
    <row r="69" spans="12:12">
      <c r="L69" s="70"/>
    </row>
    <row r="70" spans="12:12">
      <c r="L70" s="70"/>
    </row>
    <row r="71" spans="12:12">
      <c r="L71" s="70"/>
    </row>
    <row r="72" spans="12:12">
      <c r="L72" s="70"/>
    </row>
    <row r="73" spans="12:12">
      <c r="L73" s="70"/>
    </row>
    <row r="74" spans="12:12">
      <c r="L74" s="70"/>
    </row>
    <row r="75" spans="12:12">
      <c r="L75" s="70"/>
    </row>
    <row r="76" spans="12:12">
      <c r="L76" s="70"/>
    </row>
    <row r="77" spans="12:12">
      <c r="L77" s="70"/>
    </row>
    <row r="78" spans="12:12">
      <c r="L78" s="70"/>
    </row>
    <row r="79" spans="12:12">
      <c r="L79" s="70"/>
    </row>
    <row r="80" spans="12:12">
      <c r="L80" s="70"/>
    </row>
    <row r="81" spans="12:12">
      <c r="L81" s="70"/>
    </row>
    <row r="82" spans="12:12">
      <c r="L82" s="70"/>
    </row>
    <row r="83" spans="12:12">
      <c r="L83" s="70"/>
    </row>
    <row r="84" spans="12:12">
      <c r="L84" s="70"/>
    </row>
    <row r="85" spans="12:12">
      <c r="L85" s="70"/>
    </row>
    <row r="86" spans="12:12">
      <c r="L86" s="70"/>
    </row>
    <row r="87" spans="12:12">
      <c r="L87" s="70"/>
    </row>
    <row r="88" spans="12:12">
      <c r="L88" s="70"/>
    </row>
    <row r="89" spans="12:12">
      <c r="L89" s="70"/>
    </row>
    <row r="90" spans="12:12">
      <c r="L90" s="70"/>
    </row>
    <row r="91" spans="12:12">
      <c r="L91" s="70"/>
    </row>
    <row r="92" spans="12:12">
      <c r="L92" s="70"/>
    </row>
    <row r="93" spans="12:12">
      <c r="L93" s="70"/>
    </row>
    <row r="94" spans="12:12">
      <c r="L94" s="70"/>
    </row>
    <row r="95" spans="12:12">
      <c r="L95" s="70"/>
    </row>
    <row r="96" spans="12:12">
      <c r="L96" s="70"/>
    </row>
    <row r="97" spans="12:12">
      <c r="L97" s="70"/>
    </row>
    <row r="98" spans="12:12">
      <c r="L98" s="70"/>
    </row>
    <row r="99" spans="12:12">
      <c r="L99" s="70"/>
    </row>
    <row r="100" spans="12:12">
      <c r="L100" s="70"/>
    </row>
    <row r="101" spans="12:12">
      <c r="L101" s="70"/>
    </row>
    <row r="102" spans="12:12">
      <c r="L102" s="70"/>
    </row>
    <row r="103" spans="12:12">
      <c r="L103" s="70"/>
    </row>
    <row r="104" spans="12:12">
      <c r="L104" s="70"/>
    </row>
    <row r="105" spans="12:12">
      <c r="L105" s="70"/>
    </row>
    <row r="106" spans="12:12">
      <c r="L106" s="70"/>
    </row>
    <row r="107" spans="12:12">
      <c r="L107" s="70"/>
    </row>
    <row r="108" spans="12:12">
      <c r="L108" s="70"/>
    </row>
    <row r="109" spans="12:12">
      <c r="L109" s="70"/>
    </row>
    <row r="110" spans="12:12">
      <c r="L110" s="70"/>
    </row>
    <row r="111" spans="12:12">
      <c r="L111" s="70"/>
    </row>
    <row r="112" spans="12:12">
      <c r="L112" s="70"/>
    </row>
    <row r="113" spans="12:12">
      <c r="L113" s="70"/>
    </row>
    <row r="114" spans="12:12">
      <c r="L114" s="70"/>
    </row>
    <row r="115" spans="12:12">
      <c r="L115" s="70"/>
    </row>
    <row r="116" spans="12:12">
      <c r="L116" s="70"/>
    </row>
    <row r="117" spans="12:12">
      <c r="L117" s="70"/>
    </row>
    <row r="118" spans="12:12">
      <c r="L118" s="70"/>
    </row>
    <row r="119" spans="12:12">
      <c r="L119" s="70"/>
    </row>
    <row r="120" spans="12:12">
      <c r="L120" s="70"/>
    </row>
    <row r="121" spans="12:12">
      <c r="L121" s="70"/>
    </row>
    <row r="122" spans="12:12">
      <c r="L122" s="70"/>
    </row>
    <row r="123" spans="12:12">
      <c r="L123" s="70"/>
    </row>
    <row r="124" spans="12:12">
      <c r="L124" s="70"/>
    </row>
    <row r="125" spans="12:12">
      <c r="L125" s="70"/>
    </row>
    <row r="126" spans="12:12">
      <c r="L126" s="70"/>
    </row>
    <row r="127" spans="12:12">
      <c r="L127" s="70"/>
    </row>
    <row r="128" spans="12:12">
      <c r="L128" s="70"/>
    </row>
    <row r="129" spans="12:12">
      <c r="L129" s="70"/>
    </row>
    <row r="130" spans="12:12">
      <c r="L130" s="70"/>
    </row>
    <row r="131" spans="12:12">
      <c r="L131" s="70"/>
    </row>
    <row r="132" spans="12:12">
      <c r="L132" s="70"/>
    </row>
    <row r="133" spans="12:12">
      <c r="L133" s="70"/>
    </row>
    <row r="134" spans="12:12">
      <c r="L134" s="70"/>
    </row>
    <row r="135" spans="12:12">
      <c r="L135" s="70"/>
    </row>
    <row r="136" spans="12:12">
      <c r="L136" s="70"/>
    </row>
    <row r="137" spans="12:12">
      <c r="L137" s="70"/>
    </row>
    <row r="138" spans="12:12">
      <c r="L138" s="70"/>
    </row>
    <row r="139" spans="12:12">
      <c r="L139" s="70"/>
    </row>
    <row r="140" spans="12:12">
      <c r="L140" s="70"/>
    </row>
    <row r="141" spans="12:12">
      <c r="L141" s="70"/>
    </row>
    <row r="142" spans="12:12">
      <c r="L142" s="70"/>
    </row>
    <row r="143" spans="12:12">
      <c r="L143" s="70"/>
    </row>
    <row r="144" spans="12:12">
      <c r="L144" s="70"/>
    </row>
    <row r="145" spans="12:12">
      <c r="L145" s="70"/>
    </row>
    <row r="146" spans="12:12">
      <c r="L146" s="70"/>
    </row>
    <row r="147" spans="12:12">
      <c r="L147" s="70"/>
    </row>
    <row r="148" spans="12:12">
      <c r="L148" s="70"/>
    </row>
    <row r="149" spans="12:12">
      <c r="L149" s="70"/>
    </row>
    <row r="150" spans="12:12">
      <c r="L150" s="70"/>
    </row>
    <row r="151" spans="12:12">
      <c r="L151" s="70"/>
    </row>
    <row r="152" spans="12:12">
      <c r="L152" s="70"/>
    </row>
    <row r="153" spans="12:12">
      <c r="L153" s="70"/>
    </row>
    <row r="154" spans="12:12">
      <c r="L154" s="70"/>
    </row>
    <row r="155" spans="12:12">
      <c r="L155" s="70"/>
    </row>
    <row r="156" spans="12:12">
      <c r="L156" s="70"/>
    </row>
    <row r="157" spans="12:12">
      <c r="L157" s="70"/>
    </row>
    <row r="158" spans="12:12">
      <c r="L158" s="70"/>
    </row>
    <row r="159" spans="12:12">
      <c r="L159" s="70"/>
    </row>
    <row r="160" spans="12:12">
      <c r="L160" s="70"/>
    </row>
  </sheetData>
  <mergeCells count="16">
    <mergeCell ref="A1:M1"/>
    <mergeCell ref="C2:F2"/>
    <mergeCell ref="G2:H2"/>
    <mergeCell ref="A2:A3"/>
    <mergeCell ref="A4:A18"/>
    <mergeCell ref="A20:A28"/>
    <mergeCell ref="A30:A36"/>
    <mergeCell ref="A40:A41"/>
    <mergeCell ref="A43:A47"/>
    <mergeCell ref="A49:A57"/>
    <mergeCell ref="A60:A63"/>
    <mergeCell ref="B2:B3"/>
    <mergeCell ref="B60:B61"/>
    <mergeCell ref="B62:B63"/>
    <mergeCell ref="J2:J3"/>
    <mergeCell ref="K2:K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小白</cp:lastModifiedBy>
  <dcterms:created xsi:type="dcterms:W3CDTF">2026-06-09T01:41:00Z</dcterms:created>
  <dcterms:modified xsi:type="dcterms:W3CDTF">2026-10-23T11:58:36Z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25F6CA6B025D4564AAA31F987292B9B6_12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